
<file path=xl/workbook.xml><?xml version="1.0" encoding="utf-8"?>
<ns0:workbook xmlns:ns0="http://schemas.openxmlformats.org/spreadsheetml/2006/main" xmlns:ns1="http://schemas.openxmlformats.org/officeDocument/2006/relationships">
  <ns0:sheets>
    <ns0:sheet name="Sheet1" sheetId="1" ns1:id="rId1"/>
  </ns0:sheets>
</ns0:workbook>
</file>

<file path=xl/_rels/workbook.xml.rels><Relationships xmlns="http://schemas.openxmlformats.org/package/2006/relationships"><Relationship Id="rId1" Target="worksheets/sheet1.xml" Type="http://schemas.openxmlformats.org/officeDocument/2006/relationships/worksheet"/></Relationships>
</file>

<file path=xl/worksheets/sheet1.xml><?xml version="1.0" encoding="utf-8"?>
<ns0:worksheet xmlns:ns0="http://schemas.openxmlformats.org/spreadsheetml/2006/main" xmlns:ns1="http://schemas.microsoft.com/office/spreadsheetml/2009/9/ac">
  <ns0:sheetData>
    <ns0:row r="1" spans="1:26" ht="18.75" ns1:dyDescent="0.3">
      <ns0:c r="A1" s="19" t="inlineStr">
        <ns0:is>
          <ns0:t>PLEASE NOTE: </ns0:t>
        </ns0:is>
      </ns0:c>
      <ns0:c r="B1" s="1"/>
      <ns0:c r="C1" s="20" t="inlineStr">
        <ns0:is>
          <ns0:t>Three new cameras were recently installed and will be included from January 2026 onwards. These cameras are - Commercial Bay H&amp;M (NS); Commercial Bay Hugo Boss (NS); Commercial Bay Quay Street (EW)</ns0:t>
        </ns0:is>
      </ns0:c>
      <ns0:c r="D1" s="18"/>
      <ns0:c r="F1" s="18"/>
      <ns0:c r="H1" s="18"/>
      <ns0:c r="S1" s="18"/>
      <ns0:c r="U1" s="18"/>
    </ns0:row>
    <ns0:row r="2" spans="1:26" ht="18.75" ns1:dyDescent="0.3">
      <ns0:c r="A2" s="19"/>
      <ns0:c r="B2" s="1"/>
      <ns0:c r="C2" s="23"/>
      <ns0:c r="D2" s="18"/>
      <ns0:c r="F2" s="18"/>
      <ns0:c r="H2" s="18"/>
      <ns0:c r="S2" s="18"/>
      <ns0:c r="U2" s="18"/>
    </ns0:row>
    <ns0:row r="3" spans="1:26" ht="18.75" ns1:dyDescent="0.3">
      <ns0:c r="A3" s="19"/>
      <ns0:c r="B3" s="1"/>
      <ns0:c r="C3" s="21"/>
      <ns0:c r="D3" s="18"/>
      <ns0:c r="F3" s="18"/>
      <ns0:c r="H3" s="18"/>
      <ns0:c r="S3" s="18"/>
      <ns0:c r="U3" s="18"/>
    </ns0:row>
    <ns0:row r="4" spans="1:26" ht="35.1" customHeight="1" ns1:dyDescent="0.25">
      <ns0:c r="A4" s="16" t="inlineStr">
        <ns0:is>
          <ns0:t>Date</ns0:t>
        </ns0:is>
      </ns0:c>
      <ns0:c r="B4" s="4" t="inlineStr">
        <ns0:is>
          <ns0:t>Time</ns0:t>
        </ns0:is>
      </ns0:c>
      <ns0:c r="C4" s="5" t="inlineStr">
        <ns0:is>
          <ns0:t>107 Quay Street</ns0:t>
        </ns0:is>
      </ns0:c>
      <ns0:c r="D4" s="22" t="inlineStr">
        <ns0:is>
          <ns0:t>Te Ara Tahuhu Walkway</ns0:t>
        </ns0:is>
      </ns0:c>
      <ns0:c r="E4" s="22" t="inlineStr">
        <ns0:is>
          <ns0:t>Commerce Street West</ns0:t>
        </ns0:is>
      </ns0:c>
      <ns0:c r="F4" s="22" t="inlineStr">
        <ns0:is>
          <ns0:t>7 Custom Street East</ns0:t>
        </ns0:is>
      </ns0:c>
      <ns0:c r="G4" s="22" t="inlineStr">
        <ns0:is>
          <ns0:t>45 Queen Street</ns0:t>
        </ns0:is>
      </ns0:c>
      <ns0:c r="H4" s="22" t="inlineStr">
        <ns0:is>
          <ns0:t>30 Queen Street</ns0:t>
        </ns0:is>
      </ns0:c>
      <ns0:c r="I4" s="22" t="inlineStr">
        <ns0:is>
          <ns0:t>19 Shortland Street</ns0:t>
        </ns0:is>
      </ns0:c>
      <ns0:c r="J4" s="22" t="inlineStr">
        <ns0:is>
          <ns0:t>2 High Street</ns0:t>
        </ns0:is>
      </ns0:c>
      <ns0:c r="K4" s="22" t="inlineStr">
        <ns0:is>
          <ns0:t>1 Courthouse Lane</ns0:t>
        </ns0:is>
      </ns0:c>
      <ns0:c r="L4" s="22" t="inlineStr">
        <ns0:is>
          <ns0:t>61 Federal Street</ns0:t>
        </ns0:is>
      </ns0:c>
      <ns0:c r="M4" s="22" t="inlineStr">
        <ns0:is>
          <ns0:t>59 High Stret</ns0:t>
        </ns0:is>
      </ns0:c>
      <ns0:c r="N4" s="22" t="inlineStr">
        <ns0:is>
          <ns0:t>210 Queen Street</ns0:t>
        </ns0:is>
      </ns0:c>
      <ns0:c r="O4" s="22" t="inlineStr">
        <ns0:is>
          <ns0:t>205 Queen Street</ns0:t>
        </ns0:is>
      </ns0:c>
      <ns0:c r="P4" s="22" t="inlineStr">
        <ns0:is>
          <ns0:t>8 Darby Street EW</ns0:t>
        </ns0:is>
      </ns0:c>
      <ns0:c r="Q4" s="22" t="inlineStr">
        <ns0:is>
          <ns0:t>8 Darby Street NS</ns0:t>
        </ns0:is>
      </ns0:c>
      <ns0:c r="R4" s="22" t="inlineStr">
        <ns0:is>
          <ns0:t>261 Queen Street</ns0:t>
        </ns0:is>
      </ns0:c>
      <ns0:c r="S4" s="22" t="inlineStr">
        <ns0:is>
          <ns0:t>297 Queen Street</ns0:t>
        </ns0:is>
      </ns0:c>
      <ns0:c r="T4" s="22" t="inlineStr">
        <ns0:is>
          <ns0:t>150 K Road</ns0:t>
        </ns0:is>
      </ns0:c>
      <ns0:c r="U4" s="22" t="inlineStr">
        <ns0:is>
          <ns0:t>183 K Road</ns0:t>
        </ns0:is>
      </ns0:c>
      <ns0:c r="V4" s="22" t="inlineStr">
        <ns0:is>
          <ns0:t>188 Quay Street Lower Albert (EW)</ns0:t>
        </ns0:is>
      </ns0:c>
      <ns0:c r="W4" s="22" t="inlineStr">
        <ns0:is>
          <ns0:t>188 Quay Street Lower Albert (NS)</ns0:t>
        </ns0:is>
      </ns0:c>
      <ns0:c r="X4" s="22" t="inlineStr">
        <ns0:is>
          <ns0:t>Commercial Bay
H&amp;M (NS)</ns0:t>
        </ns0:is>
      </ns0:c>
      <ns0:c r="Y4" s="22" t="inlineStr">
        <ns0:is>
          <ns0:t>Commercial Bay 
Hugo Boss (NS)</ns0:t>
        </ns0:is>
      </ns0:c>
      <ns0:c r="Z4" s="22" t="inlineStr">
        <ns0:is>
          <ns0:t>Commercial Bay 
Quay St (EW)</ns0:t>
        </ns0:is>
      </ns0:c>
    </ns0:row>
    <ns0:row r="5" spans="1:26" ns1:dyDescent="0.25">
      <ns0:c r="A5" s="2">
        <ns0:v>46023</ns0:v>
      </ns0:c>
      <ns0:c r="B5" s="1" t="inlineStr">
        <ns0:is>
          <ns0:t>6:00-6:59</ns0:t>
        </ns0:is>
      </ns0:c>
      <ns0:c r="C5">
        <ns0:v>162</ns0:v>
      </ns0:c>
      <ns0:c r="D5">
        <ns0:v>23</ns0:v>
      </ns0:c>
      <ns0:c r="E5">
        <ns0:v>21</ns0:v>
      </ns0:c>
      <ns0:c r="F5">
        <ns0:v>43</ns0:v>
      </ns0:c>
      <ns0:c r="G5">
        <ns0:v>100</ns0:v>
      </ns0:c>
      <ns0:c r="H5">
        <ns0:v>91</ns0:v>
      </ns0:c>
      <ns0:c r="I5">
        <ns0:v>5</ns0:v>
      </ns0:c>
      <ns0:c r="J5">
        <ns0:v>12</ns0:v>
      </ns0:c>
      <ns0:c r="K5">
        <ns0:v>3</ns0:v>
      </ns0:c>
      <ns0:c r="L5">
        <ns0:v>26</ns0:v>
      </ns0:c>
      <ns0:c r="M5">
        <ns0:v>24</ns0:v>
      </ns0:c>
      <ns0:c r="N5">
        <ns0:v>67</ns0:v>
      </ns0:c>
      <ns0:c r="O5">
        <ns0:v>54</ns0:v>
      </ns0:c>
      <ns0:c r="P5">
        <ns0:v>6</ns0:v>
      </ns0:c>
      <ns0:c r="Q5">
        <ns0:v>17</ns0:v>
      </ns0:c>
      <ns0:c r="R5">
        <ns0:v>77</ns0:v>
      </ns0:c>
      <ns0:c r="S5">
        <ns0:v>71</ns0:v>
      </ns0:c>
      <ns0:c r="T5">
        <ns0:v>40</ns0:v>
      </ns0:c>
      <ns0:c r="U5">
        <ns0:v>85</ns0:v>
      </ns0:c>
      <ns0:c r="V5">
        <ns0:v>32</ns0:v>
      </ns0:c>
      <ns0:c r="W5">
        <ns0:v>34</ns0:v>
      </ns0:c>
      <ns0:c r="X5">
        <ns0:v>83</ns0:v>
      </ns0:c>
      <ns0:c r="Y5">
        <ns0:v>75</ns0:v>
      </ns0:c>
      <ns0:c r="Z5">
        <ns0:v>59</ns0:v>
      </ns0:c>
    </ns0:row>
    <ns0:row r="6" spans="1:26" ns1:dyDescent="0.25">
      <ns0:c r="A6" s="2">
        <ns0:f>DATE(2026,1,1)+INT((ROW(A2)-1)/24)</ns0:f>
        <ns0:v>46023</ns0:v>
      </ns0:c>
      <ns0:c r="B6" s="1" t="inlineStr">
        <ns0:is>
          <ns0:t>7:00-7:59</ns0:t>
        </ns0:is>
      </ns0:c>
      <ns0:c r="C6">
        <ns0:v>248</ns0:v>
      </ns0:c>
      <ns0:c r="D6">
        <ns0:v>30</ns0:v>
      </ns0:c>
      <ns0:c r="E6">
        <ns0:v>20</ns0:v>
      </ns0:c>
      <ns0:c r="F6">
        <ns0:v>74</ns0:v>
      </ns0:c>
      <ns0:c r="G6">
        <ns0:v>163</ns0:v>
      </ns0:c>
      <ns0:c r="H6">
        <ns0:v>162</ns0:v>
      </ns0:c>
      <ns0:c r="I6">
        <ns0:v>11</ns0:v>
      </ns0:c>
      <ns0:c r="J6">
        <ns0:v>14</ns0:v>
      </ns0:c>
      <ns0:c r="K6">
        <ns0:v>13</ns0:v>
      </ns0:c>
      <ns0:c r="L6">
        <ns0:v>23</ns0:v>
      </ns0:c>
      <ns0:c r="M6">
        <ns0:v>37</ns0:v>
      </ns0:c>
      <ns0:c r="N6">
        <ns0:v>76</ns0:v>
      </ns0:c>
      <ns0:c r="O6">
        <ns0:v>85</ns0:v>
      </ns0:c>
      <ns0:c r="P6">
        <ns0:v>8</ns0:v>
      </ns0:c>
      <ns0:c r="Q6">
        <ns0:v>24</ns0:v>
      </ns0:c>
      <ns0:c r="R6">
        <ns0:v>114</ns0:v>
      </ns0:c>
      <ns0:c r="S6">
        <ns0:v>82</ns0:v>
      </ns0:c>
      <ns0:c r="T6">
        <ns0:v>37</ns0:v>
      </ns0:c>
      <ns0:c r="U6">
        <ns0:v>95</ns0:v>
      </ns0:c>
      <ns0:c r="V6">
        <ns0:v>65</ns0:v>
      </ns0:c>
      <ns0:c r="W6">
        <ns0:v>65</ns0:v>
      </ns0:c>
      <ns0:c r="X6">
        <ns0:v>99</ns0:v>
      </ns0:c>
      <ns0:c r="Y6">
        <ns0:v>113</ns0:v>
      </ns0:c>
      <ns0:c r="Z6">
        <ns0:v>113</ns0:v>
      </ns0:c>
    </ns0:row>
  </ns0:sheetData>
</ns0:worksheet>
</file>